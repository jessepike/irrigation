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<sst xmlns="http://schemas.openxmlformats.org/spreadsheetml/2006/main" count="45" uniqueCount="33">
  <si>
    <t>`</t>
  </si>
  <si>
    <t>Valve</t>
  </si>
  <si>
    <t>Program</t>
  </si>
  <si>
    <t>Station</t>
  </si>
  <si>
    <t>Back Lawn</t>
  </si>
  <si>
    <t>A</t>
  </si>
  <si>
    <t>Back Hillside Lawn 1</t>
  </si>
  <si>
    <t>Back Lawn Beds Drip</t>
  </si>
  <si>
    <t>B</t>
  </si>
  <si>
    <t>Front Lawn 1</t>
  </si>
  <si>
    <t>OFF</t>
  </si>
  <si>
    <t>Front Lawn 2</t>
  </si>
  <si>
    <t>Front Lawn 3</t>
  </si>
  <si>
    <t>Front Lawn 4</t>
  </si>
  <si>
    <t>Garden Trees Drip</t>
  </si>
  <si>
    <t>Side Hillside Trees Drip</t>
  </si>
  <si>
    <t>Side Lawn 1</t>
  </si>
  <si>
    <t>Back Hillside Lawn 2</t>
  </si>
  <si>
    <t>Side Back Bed Drip</t>
  </si>
  <si>
    <t>Side Lawn 2</t>
  </si>
  <si>
    <t>Side Front Bed Drip</t>
  </si>
  <si>
    <t>Garden lawn 1</t>
  </si>
  <si>
    <t>Garden lawn 2</t>
  </si>
  <si>
    <t>Garden lawn 3</t>
  </si>
  <si>
    <t>Island sprays 1</t>
  </si>
  <si>
    <t>Island sprays 2</t>
  </si>
  <si>
    <t>Island drip</t>
  </si>
  <si>
    <t>Top Garden 1</t>
  </si>
  <si>
    <t>Top Garden 2</t>
  </si>
  <si>
    <t>Front Garage Rotors</t>
  </si>
  <si>
    <t>Front Garage Drip</t>
  </si>
  <si>
    <t>Hot Tub Plants sprays</t>
  </si>
  <si>
    <t>Hot Tub Plants Drip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</si>
</sst>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4">
    <font>
      <sz val="10.0"/>
      <color rgb="FF000000"/>
      <name val="Arial"/>
    </font>
    <font/>
    <font>
      <b/>
      <sz val="11.0"/>
      <color rgb="FF000000"/>
    </font>
    <font>
      <sz val="10.0"/>
      <color rgb="FF000000"/>
    </font>
  </fonts>
  <fills count="4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shrinkToFit="0" vertical="bottom" wrapText="0"/>
    </xf>
    <xf borderId="0" fillId="0" fontId="2" numFmtId="164" xfId="0" applyAlignment="1" applyFont="1" applyNumberFormat="1">
      <alignment horizontal="center" readingOrder="0" shrinkToFit="0" vertical="bottom" wrapText="0"/>
    </xf>
    <xf borderId="0" fillId="0" fontId="2" numFmtId="164" xfId="0" applyAlignment="1" applyFont="1" applyNumberFormat="1">
      <alignment horizontal="center" shrinkToFit="0" vertical="bottom" wrapText="0"/>
    </xf>
    <xf borderId="0" fillId="0" fontId="2" numFmtId="164" xfId="0" applyAlignment="1" applyFont="1" applyNumberFormat="1">
      <alignment horizontal="center" shrinkToFit="0" vertical="center" wrapText="0"/>
    </xf>
    <xf borderId="0" fillId="2" fontId="2" numFmtId="0" xfId="0" applyAlignment="1" applyFill="1" applyFont="1">
      <alignment horizontal="left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3" fontId="3" numFmtId="0" xfId="0" applyAlignment="1" applyFill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2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wrapText="1"/>
    </xf>
    <xf borderId="0" fillId="3" fontId="1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2.75"/>
  <cols>
    <col customWidth="1" min="1" max="2" width="18.75"/>
    <col customWidth="1" min="3" max="3" width="4.5"/>
    <col customWidth="1" min="4" max="4" width="5.88"/>
    <col customWidth="1" min="5" max="5" width="5.0"/>
    <col customWidth="1" min="6" max="7" width="5.25"/>
    <col customWidth="1" min="8" max="11" width="5.0"/>
    <col customWidth="1" min="12" max="15" width="6.0"/>
    <col customWidth="1" min="16" max="31" width="7.13"/>
    <col customWidth="1" min="32" max="35" width="6.0"/>
    <col customWidth="1" min="36" max="59" width="9.13"/>
    <col customWidth="1" min="60" max="67" width="6.0"/>
    <col customWidth="1" min="68" max="90" width="5.0"/>
  </cols>
  <sheetData>
    <row r="1" ht="14.25" customHeight="1">
      <c r="A1" s="1" t="s">
        <v>0</v>
      </c>
      <c r="B1" s="1"/>
      <c r="C1" s="2" t="s">
        <v>1</v>
      </c>
      <c r="D1" s="2" t="s">
        <v>2</v>
      </c>
      <c r="E1" s="2" t="s">
        <v>3</v>
      </c>
      <c r="F1" s="3">
        <v>0.3541666666666667</v>
      </c>
      <c r="G1" s="3">
        <v>0.3645833333333333</v>
      </c>
      <c r="H1" s="4">
        <f>TIME(9,0,0)</f>
        <v>0.375</v>
      </c>
      <c r="I1" s="4">
        <f t="shared" ref="I1:CL1" si="1">TIME(0,15,0)+H1</f>
        <v>0.3854166667</v>
      </c>
      <c r="J1" s="4">
        <f t="shared" si="1"/>
        <v>0.3958333333</v>
      </c>
      <c r="K1" s="4">
        <f t="shared" si="1"/>
        <v>0.40625</v>
      </c>
      <c r="L1" s="5">
        <f t="shared" si="1"/>
        <v>0.4166666667</v>
      </c>
      <c r="M1" s="5">
        <f t="shared" si="1"/>
        <v>0.4270833333</v>
      </c>
      <c r="N1" s="5">
        <f t="shared" si="1"/>
        <v>0.4375</v>
      </c>
      <c r="O1" s="5">
        <f t="shared" si="1"/>
        <v>0.4479166667</v>
      </c>
      <c r="P1" s="5">
        <f t="shared" si="1"/>
        <v>0.4583333333</v>
      </c>
      <c r="Q1" s="5">
        <f t="shared" si="1"/>
        <v>0.46875</v>
      </c>
      <c r="R1" s="5">
        <f t="shared" si="1"/>
        <v>0.4791666667</v>
      </c>
      <c r="S1" s="5">
        <f t="shared" si="1"/>
        <v>0.4895833333</v>
      </c>
      <c r="T1" s="5">
        <f t="shared" si="1"/>
        <v>0.5</v>
      </c>
      <c r="U1" s="5">
        <f t="shared" si="1"/>
        <v>0.5104166667</v>
      </c>
      <c r="V1" s="5">
        <f t="shared" si="1"/>
        <v>0.5208333333</v>
      </c>
      <c r="W1" s="5">
        <f t="shared" si="1"/>
        <v>0.53125</v>
      </c>
      <c r="X1" s="5">
        <f t="shared" si="1"/>
        <v>0.5416666667</v>
      </c>
      <c r="Y1" s="5">
        <f t="shared" si="1"/>
        <v>0.5520833333</v>
      </c>
      <c r="Z1" s="5">
        <f t="shared" si="1"/>
        <v>0.5625</v>
      </c>
      <c r="AA1" s="5">
        <f t="shared" si="1"/>
        <v>0.5729166667</v>
      </c>
      <c r="AB1" s="5">
        <f t="shared" si="1"/>
        <v>0.5833333333</v>
      </c>
      <c r="AC1" s="5">
        <f t="shared" si="1"/>
        <v>0.59375</v>
      </c>
      <c r="AD1" s="5">
        <f t="shared" si="1"/>
        <v>0.6041666667</v>
      </c>
      <c r="AE1" s="5">
        <f t="shared" si="1"/>
        <v>0.6145833333</v>
      </c>
      <c r="AF1" s="5">
        <f t="shared" si="1"/>
        <v>0.625</v>
      </c>
      <c r="AG1" s="5">
        <f t="shared" si="1"/>
        <v>0.6354166667</v>
      </c>
      <c r="AH1" s="5">
        <f t="shared" si="1"/>
        <v>0.6458333333</v>
      </c>
      <c r="AI1" s="5">
        <f t="shared" si="1"/>
        <v>0.65625</v>
      </c>
      <c r="AJ1" s="5">
        <f t="shared" si="1"/>
        <v>0.6666666667</v>
      </c>
      <c r="AK1" s="5">
        <f t="shared" si="1"/>
        <v>0.6770833333</v>
      </c>
      <c r="AL1" s="5">
        <f t="shared" si="1"/>
        <v>0.6875</v>
      </c>
      <c r="AM1" s="5">
        <f t="shared" si="1"/>
        <v>0.6979166667</v>
      </c>
      <c r="AN1" s="5">
        <f t="shared" si="1"/>
        <v>0.7083333333</v>
      </c>
      <c r="AO1" s="5">
        <f t="shared" si="1"/>
        <v>0.71875</v>
      </c>
      <c r="AP1" s="5">
        <f t="shared" si="1"/>
        <v>0.7291666667</v>
      </c>
      <c r="AQ1" s="5">
        <f t="shared" si="1"/>
        <v>0.7395833333</v>
      </c>
      <c r="AR1" s="5">
        <f t="shared" si="1"/>
        <v>0.75</v>
      </c>
      <c r="AS1" s="5">
        <f t="shared" si="1"/>
        <v>0.7604166667</v>
      </c>
      <c r="AT1" s="5">
        <f t="shared" si="1"/>
        <v>0.7708333333</v>
      </c>
      <c r="AU1" s="5">
        <f t="shared" si="1"/>
        <v>0.78125</v>
      </c>
      <c r="AV1" s="5">
        <f t="shared" si="1"/>
        <v>0.7916666667</v>
      </c>
      <c r="AW1" s="5">
        <f t="shared" si="1"/>
        <v>0.8020833333</v>
      </c>
      <c r="AX1" s="5">
        <f t="shared" si="1"/>
        <v>0.8125</v>
      </c>
      <c r="AY1" s="5">
        <f t="shared" si="1"/>
        <v>0.8229166667</v>
      </c>
      <c r="AZ1" s="5">
        <f t="shared" si="1"/>
        <v>0.8333333333</v>
      </c>
      <c r="BA1" s="5">
        <f t="shared" si="1"/>
        <v>0.84375</v>
      </c>
      <c r="BB1" s="5">
        <f t="shared" si="1"/>
        <v>0.8541666667</v>
      </c>
      <c r="BC1" s="5">
        <f t="shared" si="1"/>
        <v>0.8645833333</v>
      </c>
      <c r="BD1" s="5">
        <f t="shared" si="1"/>
        <v>0.875</v>
      </c>
      <c r="BE1" s="5">
        <f t="shared" si="1"/>
        <v>0.8854166667</v>
      </c>
      <c r="BF1" s="5">
        <f t="shared" si="1"/>
        <v>0.8958333333</v>
      </c>
      <c r="BG1" s="5">
        <f t="shared" si="1"/>
        <v>0.90625</v>
      </c>
      <c r="BH1" s="5">
        <f t="shared" si="1"/>
        <v>0.9166666667</v>
      </c>
      <c r="BI1" s="5">
        <f t="shared" si="1"/>
        <v>0.9270833333</v>
      </c>
      <c r="BJ1" s="5">
        <f t="shared" si="1"/>
        <v>0.9375</v>
      </c>
      <c r="BK1" s="5">
        <f t="shared" si="1"/>
        <v>0.9479166667</v>
      </c>
      <c r="BL1" s="5">
        <f t="shared" si="1"/>
        <v>0.9583333333</v>
      </c>
      <c r="BM1" s="5">
        <f t="shared" si="1"/>
        <v>0.96875</v>
      </c>
      <c r="BN1" s="5">
        <f t="shared" si="1"/>
        <v>0.9791666667</v>
      </c>
      <c r="BO1" s="5">
        <f t="shared" si="1"/>
        <v>0.9895833333</v>
      </c>
      <c r="BP1" s="5">
        <f t="shared" si="1"/>
        <v>1</v>
      </c>
      <c r="BQ1" s="5">
        <f t="shared" si="1"/>
        <v>1.010416667</v>
      </c>
      <c r="BR1" s="5">
        <f t="shared" si="1"/>
        <v>1.020833333</v>
      </c>
      <c r="BS1" s="5">
        <f t="shared" si="1"/>
        <v>1.03125</v>
      </c>
      <c r="BT1" s="5">
        <f t="shared" si="1"/>
        <v>1.041666667</v>
      </c>
      <c r="BU1" s="5">
        <f t="shared" si="1"/>
        <v>1.052083333</v>
      </c>
      <c r="BV1" s="5">
        <f t="shared" si="1"/>
        <v>1.0625</v>
      </c>
      <c r="BW1" s="5">
        <f t="shared" si="1"/>
        <v>1.072916667</v>
      </c>
      <c r="BX1" s="5">
        <f t="shared" si="1"/>
        <v>1.083333333</v>
      </c>
      <c r="BY1" s="5">
        <f t="shared" si="1"/>
        <v>1.09375</v>
      </c>
      <c r="BZ1" s="5">
        <f t="shared" si="1"/>
        <v>1.104166667</v>
      </c>
      <c r="CA1" s="5">
        <f t="shared" si="1"/>
        <v>1.114583333</v>
      </c>
      <c r="CB1" s="5">
        <f t="shared" si="1"/>
        <v>1.125</v>
      </c>
      <c r="CC1" s="5">
        <f t="shared" si="1"/>
        <v>1.135416667</v>
      </c>
      <c r="CD1" s="5">
        <f t="shared" si="1"/>
        <v>1.145833333</v>
      </c>
      <c r="CE1" s="5">
        <f t="shared" si="1"/>
        <v>1.15625</v>
      </c>
      <c r="CF1" s="5">
        <f t="shared" si="1"/>
        <v>1.166666667</v>
      </c>
      <c r="CG1" s="5">
        <f t="shared" si="1"/>
        <v>1.177083333</v>
      </c>
      <c r="CH1" s="5">
        <f t="shared" si="1"/>
        <v>1.1875</v>
      </c>
      <c r="CI1" s="5">
        <f t="shared" si="1"/>
        <v>1.197916667</v>
      </c>
      <c r="CJ1" s="5">
        <f t="shared" si="1"/>
        <v>1.208333333</v>
      </c>
      <c r="CK1" s="5">
        <f t="shared" si="1"/>
        <v>1.21875</v>
      </c>
      <c r="CL1" s="5">
        <f t="shared" si="1"/>
        <v>1.229166667</v>
      </c>
    </row>
    <row r="2" ht="15.0" customHeight="1">
      <c r="A2" s="6" t="s">
        <v>4</v>
      </c>
      <c r="B2" s="6"/>
      <c r="C2" s="7">
        <v>1.0</v>
      </c>
      <c r="D2" s="7" t="s">
        <v>5</v>
      </c>
      <c r="E2" s="7">
        <v>1.0</v>
      </c>
      <c r="L2" s="8">
        <v>30.0</v>
      </c>
    </row>
    <row r="3" ht="15.0" customHeight="1">
      <c r="A3" s="6" t="s">
        <v>6</v>
      </c>
      <c r="B3" s="6"/>
      <c r="C3" s="7">
        <v>1.0</v>
      </c>
      <c r="D3" s="7" t="s">
        <v>5</v>
      </c>
      <c r="E3" s="7">
        <v>2.0</v>
      </c>
      <c r="N3" s="8">
        <v>45.0</v>
      </c>
    </row>
    <row r="4" ht="15.0" customHeight="1">
      <c r="A4" s="6" t="s">
        <v>7</v>
      </c>
      <c r="B4" s="6"/>
      <c r="C4" s="7">
        <v>1.0</v>
      </c>
      <c r="D4" s="7" t="s">
        <v>8</v>
      </c>
      <c r="E4" s="7">
        <v>3.0</v>
      </c>
      <c r="Q4" s="8">
        <v>45.0</v>
      </c>
      <c r="BT4" s="9"/>
      <c r="BU4" s="9"/>
    </row>
    <row r="5" ht="15.0" customHeight="1">
      <c r="A5" s="6" t="s">
        <v>9</v>
      </c>
      <c r="B5" s="10" t="s">
        <v>10</v>
      </c>
      <c r="C5" s="7">
        <v>2.0</v>
      </c>
      <c r="D5" s="7" t="s">
        <v>5</v>
      </c>
      <c r="E5" s="7">
        <v>1.0</v>
      </c>
      <c r="F5" s="11"/>
      <c r="G5" s="11"/>
      <c r="H5" s="11"/>
      <c r="AH5" s="12"/>
      <c r="BN5" s="7"/>
      <c r="CC5" s="9"/>
      <c r="CI5" s="13"/>
    </row>
    <row r="6" ht="15.0" customHeight="1">
      <c r="A6" s="6" t="s">
        <v>11</v>
      </c>
      <c r="B6" s="6"/>
      <c r="C6" s="7">
        <v>2.0</v>
      </c>
      <c r="D6" s="7" t="s">
        <v>5</v>
      </c>
      <c r="E6" s="7">
        <v>2.0</v>
      </c>
      <c r="I6" s="11"/>
      <c r="AI6" s="12"/>
      <c r="BH6" s="14"/>
      <c r="BO6" s="7"/>
      <c r="BR6" s="15">
        <v>60.0</v>
      </c>
      <c r="CJ6" s="13"/>
    </row>
    <row r="7" ht="15.0" customHeight="1">
      <c r="A7" s="6" t="s">
        <v>12</v>
      </c>
      <c r="B7" s="6"/>
      <c r="C7" s="7">
        <v>2.0</v>
      </c>
      <c r="D7" s="7" t="s">
        <v>5</v>
      </c>
      <c r="E7" s="7">
        <v>3.0</v>
      </c>
      <c r="J7" s="11"/>
      <c r="BH7" s="7"/>
      <c r="BJ7" s="14"/>
      <c r="BP7" s="7"/>
      <c r="BV7" s="15">
        <v>60.0</v>
      </c>
      <c r="CG7" s="1"/>
      <c r="CK7" s="13"/>
    </row>
    <row r="8" ht="15.0" customHeight="1">
      <c r="A8" s="6" t="s">
        <v>13</v>
      </c>
      <c r="B8" s="6"/>
      <c r="C8" s="7">
        <v>2.0</v>
      </c>
      <c r="D8" s="7" t="s">
        <v>5</v>
      </c>
      <c r="E8" s="7">
        <v>4.0</v>
      </c>
      <c r="K8" s="11"/>
      <c r="BI8" s="7"/>
      <c r="BL8" s="14"/>
      <c r="BQ8" s="7"/>
      <c r="BZ8" s="15">
        <v>60.0</v>
      </c>
      <c r="CF8" s="9"/>
      <c r="CG8" s="1"/>
      <c r="CH8" s="1"/>
      <c r="CI8" s="1"/>
      <c r="CJ8" s="1"/>
      <c r="CK8" s="1"/>
      <c r="CL8" s="13"/>
    </row>
    <row r="9" ht="15.0" customHeight="1">
      <c r="A9" s="6" t="s">
        <v>14</v>
      </c>
      <c r="B9" s="6"/>
      <c r="C9" s="7">
        <v>3.0</v>
      </c>
      <c r="D9" s="7" t="s">
        <v>5</v>
      </c>
      <c r="E9" s="7">
        <v>1.0</v>
      </c>
      <c r="M9" s="9"/>
      <c r="N9" s="9"/>
      <c r="Q9" s="14"/>
      <c r="R9" s="14"/>
      <c r="S9" s="14"/>
      <c r="T9" s="15">
        <v>60.0</v>
      </c>
      <c r="X9" s="14"/>
      <c r="Y9" s="14"/>
      <c r="Z9" s="14"/>
      <c r="AA9" s="14"/>
      <c r="AB9" s="14"/>
      <c r="AC9" s="14"/>
      <c r="AD9" s="14"/>
      <c r="AE9" s="14"/>
      <c r="AF9" s="14"/>
      <c r="BV9" s="9"/>
      <c r="BW9" s="9"/>
      <c r="BX9" s="9"/>
    </row>
    <row r="10" ht="15.0" customHeight="1">
      <c r="A10" s="6" t="s">
        <v>15</v>
      </c>
      <c r="B10" s="6"/>
      <c r="C10" s="7">
        <v>4.0</v>
      </c>
      <c r="D10" s="7" t="s">
        <v>5</v>
      </c>
      <c r="E10" s="7">
        <v>1.0</v>
      </c>
      <c r="N10" s="9"/>
      <c r="O10" s="9"/>
      <c r="AE10" s="15">
        <v>60.0</v>
      </c>
      <c r="BQ10" s="9"/>
      <c r="BR10" s="9"/>
    </row>
    <row r="11" ht="15.0" customHeight="1">
      <c r="A11" s="6" t="s">
        <v>16</v>
      </c>
      <c r="B11" s="6"/>
      <c r="C11" s="7">
        <v>5.0</v>
      </c>
      <c r="D11" s="7" t="s">
        <v>5</v>
      </c>
      <c r="E11" s="7">
        <v>1.0</v>
      </c>
      <c r="BH11" s="15">
        <v>30.0</v>
      </c>
      <c r="BP11" s="1"/>
      <c r="BV11" s="1"/>
      <c r="BZ11" s="9"/>
    </row>
    <row r="12" ht="15.0" customHeight="1">
      <c r="A12" s="6" t="s">
        <v>17</v>
      </c>
      <c r="B12" s="6"/>
      <c r="C12" s="7">
        <v>5.0</v>
      </c>
      <c r="D12" s="7" t="s">
        <v>5</v>
      </c>
      <c r="E12" s="7">
        <v>2.0</v>
      </c>
      <c r="BJ12" s="15">
        <v>45.0</v>
      </c>
      <c r="CA12" s="9"/>
    </row>
    <row r="13" ht="15.0" customHeight="1">
      <c r="A13" s="6" t="s">
        <v>18</v>
      </c>
      <c r="B13" s="6"/>
      <c r="C13" s="7">
        <v>5.0</v>
      </c>
      <c r="D13" s="7" t="s">
        <v>8</v>
      </c>
      <c r="E13" s="7">
        <v>3.0</v>
      </c>
      <c r="J13" s="14"/>
      <c r="P13" s="1"/>
      <c r="Q13" s="14"/>
      <c r="BM13" s="15">
        <v>30.0</v>
      </c>
      <c r="CJ13" s="9"/>
      <c r="CK13" s="9"/>
    </row>
    <row r="14" ht="15.0" customHeight="1">
      <c r="A14" s="6" t="s">
        <v>19</v>
      </c>
      <c r="B14" s="6"/>
      <c r="C14" s="7">
        <v>6.0</v>
      </c>
      <c r="D14" s="7" t="s">
        <v>5</v>
      </c>
      <c r="E14" s="7">
        <v>1.0</v>
      </c>
      <c r="BI14" s="1"/>
      <c r="BJ14" s="9"/>
      <c r="BN14" s="1"/>
      <c r="BO14" s="15">
        <v>30.0</v>
      </c>
    </row>
    <row r="15" ht="15.0" customHeight="1">
      <c r="A15" s="6" t="s">
        <v>20</v>
      </c>
      <c r="B15" s="6"/>
      <c r="C15" s="7">
        <v>6.0</v>
      </c>
      <c r="D15" s="7" t="s">
        <v>8</v>
      </c>
      <c r="E15" s="7">
        <v>2.0</v>
      </c>
      <c r="BQ15" s="15">
        <v>45.0</v>
      </c>
      <c r="BX15" s="9"/>
      <c r="BY15" s="9"/>
    </row>
    <row r="16" ht="15.0" customHeight="1">
      <c r="A16" s="1" t="s">
        <v>21</v>
      </c>
      <c r="B16" s="1"/>
      <c r="BA16" s="15">
        <v>45.0</v>
      </c>
    </row>
    <row r="17" ht="15.0" customHeight="1">
      <c r="A17" s="1" t="s">
        <v>22</v>
      </c>
      <c r="B17" s="1"/>
      <c r="BD17" s="15">
        <v>60.0</v>
      </c>
    </row>
    <row r="18" ht="15.0" customHeight="1">
      <c r="A18" s="1" t="s">
        <v>23</v>
      </c>
      <c r="B18" s="1"/>
      <c r="AW18" s="15">
        <v>60.0</v>
      </c>
    </row>
    <row r="19" ht="15.0" customHeight="1">
      <c r="A19" s="1" t="s">
        <v>24</v>
      </c>
      <c r="B19" s="1"/>
      <c r="AR19" s="15">
        <v>30.0</v>
      </c>
    </row>
    <row r="20" ht="15.0" customHeight="1">
      <c r="A20" s="1" t="s">
        <v>25</v>
      </c>
      <c r="B20" s="1"/>
    </row>
    <row r="21" ht="15.0" customHeight="1">
      <c r="A21" s="1" t="s">
        <v>26</v>
      </c>
      <c r="B21" s="1"/>
      <c r="AT21" s="15">
        <v>30.0</v>
      </c>
    </row>
    <row r="22" ht="15.0" customHeight="1">
      <c r="A22" s="1" t="s">
        <v>27</v>
      </c>
      <c r="B22" s="1"/>
      <c r="E22" s="1">
        <v>1.0</v>
      </c>
    </row>
    <row r="23" ht="15.0" customHeight="1">
      <c r="A23" s="1" t="s">
        <v>28</v>
      </c>
      <c r="E23" s="1">
        <v>2.0</v>
      </c>
    </row>
    <row r="24" ht="15.0" customHeight="1">
      <c r="A24" s="1" t="s">
        <v>29</v>
      </c>
      <c r="E24" s="1">
        <v>1.0</v>
      </c>
      <c r="CD24" s="8">
        <v>45.0</v>
      </c>
    </row>
    <row r="25" ht="15.0" customHeight="1">
      <c r="A25" s="1" t="s">
        <v>30</v>
      </c>
      <c r="E25" s="1">
        <v>2.0</v>
      </c>
      <c r="CG25" s="8">
        <v>45.0</v>
      </c>
    </row>
    <row r="26" ht="15.0" customHeight="1">
      <c r="A26" s="1" t="s">
        <v>31</v>
      </c>
      <c r="E26" s="1">
        <v>1.0</v>
      </c>
      <c r="AN26" s="15">
        <v>30.0</v>
      </c>
      <c r="CG26" s="8"/>
      <c r="CH26" s="8"/>
      <c r="CI26" s="8"/>
    </row>
    <row r="27" ht="15.0" customHeight="1">
      <c r="A27" s="1" t="s">
        <v>32</v>
      </c>
      <c r="E27" s="1"/>
      <c r="AP27" s="15">
        <v>30.0</v>
      </c>
      <c r="CG27" s="8"/>
      <c r="CH27" s="8"/>
      <c r="CI27" s="8"/>
    </row>
  </sheetData>
  <mergeCells count="28">
    <mergeCell ref="T9:W9"/>
    <mergeCell ref="AE10:AH10"/>
    <mergeCell ref="J13:K13"/>
    <mergeCell ref="Q13:R13"/>
    <mergeCell ref="L2:M2"/>
    <mergeCell ref="N3:P3"/>
    <mergeCell ref="Q4:S4"/>
    <mergeCell ref="AH5:AI5"/>
    <mergeCell ref="BH6:BI6"/>
    <mergeCell ref="BR6:BU6"/>
    <mergeCell ref="BV7:BY7"/>
    <mergeCell ref="BJ7:BK7"/>
    <mergeCell ref="BL8:BM8"/>
    <mergeCell ref="BZ8:CC8"/>
    <mergeCell ref="BH11:BI11"/>
    <mergeCell ref="BJ12:BL12"/>
    <mergeCell ref="BM13:BN13"/>
    <mergeCell ref="BO14:BP14"/>
    <mergeCell ref="AT21:AU21"/>
    <mergeCell ref="AN26:AO26"/>
    <mergeCell ref="AP27:AQ27"/>
    <mergeCell ref="BQ15:BS15"/>
    <mergeCell ref="BA16:BC16"/>
    <mergeCell ref="BD17:BG17"/>
    <mergeCell ref="AW18:AZ18"/>
    <mergeCell ref="AR19:AS19"/>
    <mergeCell ref="CD24:CF24"/>
    <mergeCell ref="CG25:CI25"/>
  </mergeCells>
  <drawing r:id="rId1"/>
</worksheet>
</file>